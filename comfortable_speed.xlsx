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uttoAnalysis\"/>
    </mc:Choice>
  </mc:AlternateContent>
  <xr:revisionPtr revIDLastSave="0" documentId="13_ncr:1_{713D17B1-0B9F-4CCB-BE2B-23DA2CDE3E2A}" xr6:coauthVersionLast="47" xr6:coauthVersionMax="47" xr10:uidLastSave="{00000000-0000-0000-0000-000000000000}"/>
  <bookViews>
    <workbookView xWindow="-19310" yWindow="-1300" windowWidth="19420" windowHeight="11500" activeTab="1" xr2:uid="{FAD0BBB9-9FA6-49EF-9FBB-58039FCA0FAD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8" i="1" l="1"/>
  <c r="I22" i="1"/>
  <c r="I18" i="1"/>
  <c r="I13" i="1"/>
  <c r="I14" i="1"/>
  <c r="I7" i="1"/>
  <c r="I29" i="1"/>
  <c r="I27" i="1"/>
  <c r="I23" i="1"/>
  <c r="I24" i="1"/>
  <c r="I19" i="1"/>
  <c r="I17" i="1"/>
  <c r="I12" i="1"/>
  <c r="I9" i="1"/>
  <c r="I8" i="1"/>
  <c r="I4" i="1"/>
  <c r="I3" i="1"/>
  <c r="I2" i="1"/>
  <c r="H2" i="1"/>
  <c r="H23" i="1"/>
  <c r="H24" i="1"/>
  <c r="H27" i="1"/>
  <c r="H28" i="1"/>
  <c r="H29" i="1"/>
  <c r="H22" i="1"/>
  <c r="H17" i="1"/>
  <c r="H18" i="1"/>
  <c r="H19" i="1"/>
  <c r="H9" i="1"/>
  <c r="H3" i="1"/>
  <c r="H7" i="1"/>
  <c r="H8" i="1"/>
  <c r="H12" i="1"/>
  <c r="H13" i="1"/>
  <c r="H14" i="1"/>
  <c r="H4" i="1"/>
</calcChain>
</file>

<file path=xl/sharedStrings.xml><?xml version="1.0" encoding="utf-8"?>
<sst xmlns="http://schemas.openxmlformats.org/spreadsheetml/2006/main" count="54" uniqueCount="22">
  <si>
    <t>Sakai</t>
    <phoneticPr fontId="1"/>
  </si>
  <si>
    <t>task01</t>
    <phoneticPr fontId="1"/>
  </si>
  <si>
    <t>task02</t>
    <phoneticPr fontId="1"/>
  </si>
  <si>
    <t>task03</t>
    <phoneticPr fontId="1"/>
  </si>
  <si>
    <t>Kanai</t>
    <phoneticPr fontId="1"/>
  </si>
  <si>
    <t>Yorii</t>
    <phoneticPr fontId="1"/>
  </si>
  <si>
    <t>Okumura</t>
    <phoneticPr fontId="1"/>
  </si>
  <si>
    <t>Hara</t>
    <phoneticPr fontId="1"/>
  </si>
  <si>
    <t>Yanagaawa</t>
    <phoneticPr fontId="1"/>
  </si>
  <si>
    <t>Sawada</t>
    <phoneticPr fontId="1"/>
  </si>
  <si>
    <t>Sakai</t>
  </si>
  <si>
    <t>Kanai</t>
  </si>
  <si>
    <t>Yorii</t>
  </si>
  <si>
    <t>Okumura</t>
  </si>
  <si>
    <t>Hara</t>
  </si>
  <si>
    <t>Yanagawa</t>
  </si>
  <si>
    <t>Kojima</t>
    <phoneticPr fontId="1"/>
  </si>
  <si>
    <t>Normal</t>
    <phoneticPr fontId="1"/>
  </si>
  <si>
    <t>Advance</t>
    <phoneticPr fontId="1"/>
  </si>
  <si>
    <t>Without</t>
    <phoneticPr fontId="1"/>
  </si>
  <si>
    <t>mean</t>
    <phoneticPr fontId="1"/>
  </si>
  <si>
    <t>Fr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</si>
</sst>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Sheet2!$A$2</c:f>
              <c:strCache>
                <c:ptCount val="1"/>
                <c:pt idx="0">
                  <c:v>Normal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Sheet2!$B$1:$G$1</c:f>
              <c:strCache>
                <c:ptCount val="6"/>
                <c:pt idx="0">
                  <c:v>Sakai</c:v>
                </c:pt>
                <c:pt idx="1">
                  <c:v>Kanai</c:v>
                </c:pt>
                <c:pt idx="2">
                  <c:v>Yorii</c:v>
                </c:pt>
                <c:pt idx="3">
                  <c:v>Okumura</c:v>
                </c:pt>
                <c:pt idx="4">
                  <c:v>Hara</c:v>
                </c:pt>
                <c:pt idx="5">
                  <c:v>Yanagawa</c:v>
                </c:pt>
              </c:strCache>
            </c:strRef>
          </c:xVal>
          <c:yVal>
            <c:numRef>
              <c:f>Sheet2!$B$2:$G$2</c:f>
              <c:numCache>
                <c:formatCode>General</c:formatCode>
                <c:ptCount val="6"/>
                <c:pt idx="0">
                  <c:v>0.9966666666666667</c:v>
                </c:pt>
                <c:pt idx="1">
                  <c:v>0.94166666666666676</c:v>
                </c:pt>
                <c:pt idx="2">
                  <c:v>1.0383333333333333</c:v>
                </c:pt>
                <c:pt idx="3">
                  <c:v>1.2916666666666667</c:v>
                </c:pt>
                <c:pt idx="4">
                  <c:v>1.1299999999999999</c:v>
                </c:pt>
                <c:pt idx="5">
                  <c:v>1.0033333333333334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AA-44C3-9F42-032BB7F796B5}"/>
            </c:ext>
          </c:extLst>
        </c:ser>
        <c:ser>
          <c:idx val="1"/>
          <c:order val="1"/>
          <c:tx>
            <c:strRef>
              <c:f>Sheet2!$A$3</c:f>
              <c:strCache>
                <c:ptCount val="1"/>
                <c:pt idx="0">
                  <c:v>Advance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Sheet2!$B$1:$G$1</c:f>
              <c:strCache>
                <c:ptCount val="6"/>
                <c:pt idx="0">
                  <c:v>Sakai</c:v>
                </c:pt>
                <c:pt idx="1">
                  <c:v>Kanai</c:v>
                </c:pt>
                <c:pt idx="2">
                  <c:v>Yorii</c:v>
                </c:pt>
                <c:pt idx="3">
                  <c:v>Okumura</c:v>
                </c:pt>
                <c:pt idx="4">
                  <c:v>Hara</c:v>
                </c:pt>
                <c:pt idx="5">
                  <c:v>Yanagawa</c:v>
                </c:pt>
              </c:strCache>
            </c:strRef>
          </c:xVal>
          <c:yVal>
            <c:numRef>
              <c:f>Sheet2!$B$3:$G$3</c:f>
              <c:numCache>
                <c:formatCode>General</c:formatCode>
                <c:ptCount val="6"/>
                <c:pt idx="0">
                  <c:v>1.0816666666666666</c:v>
                </c:pt>
                <c:pt idx="1">
                  <c:v>1.0333333333333334</c:v>
                </c:pt>
                <c:pt idx="2">
                  <c:v>1.125</c:v>
                </c:pt>
                <c:pt idx="3">
                  <c:v>1.2666666666666668</c:v>
                </c:pt>
                <c:pt idx="4">
                  <c:v>1.1066666666666667</c:v>
                </c:pt>
                <c:pt idx="5">
                  <c:v>0.97666666666666668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AA-44C3-9F42-032BB7F796B5}"/>
            </c:ext>
          </c:extLst>
        </c:ser>
        <c:ser>
          <c:idx val="2"/>
          <c:order val="2"/>
          <c:tx>
            <c:strRef>
              <c:f>Sheet2!$A$4</c:f>
              <c:strCache>
                <c:ptCount val="1"/>
                <c:pt idx="0">
                  <c:v>Without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Sheet2!$B$1:$G$1</c:f>
              <c:strCache>
                <c:ptCount val="6"/>
                <c:pt idx="0">
                  <c:v>Sakai</c:v>
                </c:pt>
                <c:pt idx="1">
                  <c:v>Kanai</c:v>
                </c:pt>
                <c:pt idx="2">
                  <c:v>Yorii</c:v>
                </c:pt>
                <c:pt idx="3">
                  <c:v>Okumura</c:v>
                </c:pt>
                <c:pt idx="4">
                  <c:v>Hara</c:v>
                </c:pt>
                <c:pt idx="5">
                  <c:v>Yanagawa</c:v>
                </c:pt>
              </c:strCache>
            </c:strRef>
          </c:xVal>
          <c:yVal>
            <c:numRef>
              <c:f>Sheet2!$B$4:$G$4</c:f>
              <c:numCache>
                <c:formatCode>General</c:formatCode>
                <c:ptCount val="6"/>
                <c:pt idx="0">
                  <c:v>0.9816666666666668</c:v>
                </c:pt>
                <c:pt idx="1">
                  <c:v>0.94666666666666666</c:v>
                </c:pt>
                <c:pt idx="2">
                  <c:v>1.1100000000000001</c:v>
                </c:pt>
                <c:pt idx="3">
                  <c:v>1.27</c:v>
                </c:pt>
                <c:pt idx="4">
                  <c:v>1.125</c:v>
                </c:pt>
                <c:pt idx="5">
                  <c:v>0.83200000000000007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FAA-44C3-9F42-032BB7F79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9284992"/>
        <c:axId val="1282121552"/>
      </c:scatterChart>
      <c:valAx>
        <c:axId val="140928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82121552"/>
        <c:crosses val="autoZero"/>
        <c:crossBetween val="midCat"/>
      </c:valAx>
      <c:valAx>
        <c:axId val="1282121552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09284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Fr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Sheet2!$A$7</c:f>
              <c:strCache>
                <c:ptCount val="1"/>
                <c:pt idx="0">
                  <c:v>Normal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Sheet2!$B$6:$G$6</c:f>
              <c:strCache>
                <c:ptCount val="6"/>
                <c:pt idx="0">
                  <c:v>Sakai</c:v>
                </c:pt>
                <c:pt idx="1">
                  <c:v>Kanai</c:v>
                </c:pt>
                <c:pt idx="2">
                  <c:v>Yorii</c:v>
                </c:pt>
                <c:pt idx="3">
                  <c:v>Okumura</c:v>
                </c:pt>
                <c:pt idx="4">
                  <c:v>Hara</c:v>
                </c:pt>
                <c:pt idx="5">
                  <c:v>Yanagawa</c:v>
                </c:pt>
              </c:strCache>
            </c:strRef>
          </c:xVal>
          <c:yVal>
            <c:numRef>
              <c:f>Sheet2!$B$7:$G$7</c:f>
              <c:numCache>
                <c:formatCode>General</c:formatCode>
                <c:ptCount val="6"/>
                <c:pt idx="0">
                  <c:v>0.24123527071274051</c:v>
                </c:pt>
                <c:pt idx="1">
                  <c:v>0.22924426001282389</c:v>
                </c:pt>
                <c:pt idx="2">
                  <c:v>0.25351533657414582</c:v>
                </c:pt>
                <c:pt idx="3">
                  <c:v>0.31101481750536469</c:v>
                </c:pt>
                <c:pt idx="4">
                  <c:v>0.27317646823833081</c:v>
                </c:pt>
                <c:pt idx="5">
                  <c:v>0.24367397699563315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8E-43A3-8E72-F97F9EC18F76}"/>
            </c:ext>
          </c:extLst>
        </c:ser>
        <c:ser>
          <c:idx val="1"/>
          <c:order val="1"/>
          <c:tx>
            <c:strRef>
              <c:f>Sheet2!$A$8</c:f>
              <c:strCache>
                <c:ptCount val="1"/>
                <c:pt idx="0">
                  <c:v>Advance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Sheet2!$B$6:$G$6</c:f>
              <c:strCache>
                <c:ptCount val="6"/>
                <c:pt idx="0">
                  <c:v>Sakai</c:v>
                </c:pt>
                <c:pt idx="1">
                  <c:v>Kanai</c:v>
                </c:pt>
                <c:pt idx="2">
                  <c:v>Yorii</c:v>
                </c:pt>
                <c:pt idx="3">
                  <c:v>Okumura</c:v>
                </c:pt>
                <c:pt idx="4">
                  <c:v>Hara</c:v>
                </c:pt>
                <c:pt idx="5">
                  <c:v>Yanagawa</c:v>
                </c:pt>
              </c:strCache>
            </c:strRef>
          </c:xVal>
          <c:yVal>
            <c:numRef>
              <c:f>Sheet2!$B$8:$G$8</c:f>
              <c:numCache>
                <c:formatCode>General</c:formatCode>
                <c:ptCount val="6"/>
                <c:pt idx="0">
                  <c:v>0.26180884731198756</c:v>
                </c:pt>
                <c:pt idx="1">
                  <c:v>0.25156007293442623</c:v>
                </c:pt>
                <c:pt idx="2">
                  <c:v>0.27467552518065558</c:v>
                </c:pt>
                <c:pt idx="3">
                  <c:v>0.3049951758762286</c:v>
                </c:pt>
                <c:pt idx="4">
                  <c:v>0.26753565620981073</c:v>
                </c:pt>
                <c:pt idx="5">
                  <c:v>0.23719759222498507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8E-43A3-8E72-F97F9EC18F76}"/>
            </c:ext>
          </c:extLst>
        </c:ser>
        <c:ser>
          <c:idx val="2"/>
          <c:order val="2"/>
          <c:tx>
            <c:strRef>
              <c:f>Sheet2!$A$9</c:f>
              <c:strCache>
                <c:ptCount val="1"/>
                <c:pt idx="0">
                  <c:v>Without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Sheet2!$B$6:$G$6</c:f>
              <c:strCache>
                <c:ptCount val="6"/>
                <c:pt idx="0">
                  <c:v>Sakai</c:v>
                </c:pt>
                <c:pt idx="1">
                  <c:v>Kanai</c:v>
                </c:pt>
                <c:pt idx="2">
                  <c:v>Yorii</c:v>
                </c:pt>
                <c:pt idx="3">
                  <c:v>Okumura</c:v>
                </c:pt>
                <c:pt idx="4">
                  <c:v>Hara</c:v>
                </c:pt>
                <c:pt idx="5">
                  <c:v>Yanagawa</c:v>
                </c:pt>
              </c:strCache>
            </c:strRef>
          </c:xVal>
          <c:yVal>
            <c:numRef>
              <c:f>Sheet2!$B$9:$G$9</c:f>
              <c:numCache>
                <c:formatCode>General</c:formatCode>
                <c:ptCount val="6"/>
                <c:pt idx="0">
                  <c:v>0.23760463954816752</c:v>
                </c:pt>
                <c:pt idx="1">
                  <c:v>0.23046148617218398</c:v>
                </c:pt>
                <c:pt idx="2">
                  <c:v>0.27101318484491349</c:v>
                </c:pt>
                <c:pt idx="3">
                  <c:v>0.30579779476011337</c:v>
                </c:pt>
                <c:pt idx="4">
                  <c:v>0.27196772280364795</c:v>
                </c:pt>
                <c:pt idx="5">
                  <c:v>0.20206320484421939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8E-43A3-8E72-F97F9EC18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2069056"/>
        <c:axId val="1282160912"/>
      </c:scatterChart>
      <c:valAx>
        <c:axId val="149206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82160912"/>
        <c:crosses val="autoZero"/>
        <c:crossBetween val="midCat"/>
      </c:valAx>
      <c:valAx>
        <c:axId val="1282160912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92069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389251</xdr:colOff>
      <xdr:row>1</xdr:row>
      <xdr:rowOff>114725</xdr:rowOff>
    </xdr:from>
    <xdr:to>
      <xdr:col>15</xdr:col>
      <xdr:colOff>160651</xdr:colOff>
      <xdr:row>12</xdr:row>
      <xdr:rowOff>207735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A5F0BB4-53C2-E503-7926-50836449A1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425263</xdr:colOff>
      <xdr:row>14</xdr:row>
      <xdr:rowOff>50986</xdr:rowOff>
    </xdr:from>
    <xdr:to>
      <xdr:col>15</xdr:col>
      <xdr:colOff>189379</xdr:colOff>
      <xdr:row>25</xdr:row>
      <xdr:rowOff>167714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FA557E7A-EBE6-2AA5-51AA-F7033AA583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D6EEC-EB3D-4750-8DFA-23F2515A2107}">
  <dimension ref="A1:I39"/>
  <sheetViews>
    <sheetView zoomScale="70" zoomScaleNormal="70" workbookViewId="0">
      <selection activeCell="K2" sqref="K2:P4"/>
    </sheetView>
  </sheetViews>
  <sheetFormatPr defaultRowHeight="18.75" x14ac:dyDescent="0.4"/>
  <cols>
    <col min="8" max="9" width="12.75" bestFit="1" customWidth="1"/>
  </cols>
  <sheetData>
    <row r="1" spans="1:9" x14ac:dyDescent="0.4">
      <c r="A1" t="s">
        <v>0</v>
      </c>
      <c r="B1">
        <v>1.74</v>
      </c>
      <c r="H1" t="s">
        <v>20</v>
      </c>
      <c r="I1" t="s">
        <v>21</v>
      </c>
    </row>
    <row r="2" spans="1:9" x14ac:dyDescent="0.4">
      <c r="A2" t="s">
        <v>1</v>
      </c>
      <c r="B2">
        <v>1.62</v>
      </c>
      <c r="C2">
        <v>1.78</v>
      </c>
      <c r="D2">
        <v>1.82</v>
      </c>
      <c r="E2">
        <v>0.28000000000000003</v>
      </c>
      <c r="F2">
        <v>0.3</v>
      </c>
      <c r="G2">
        <v>0.18</v>
      </c>
      <c r="H2">
        <f>AVERAGE(B2:G2)</f>
        <v>0.9966666666666667</v>
      </c>
      <c r="I2">
        <f>H2/SQRT(9.81*$B$1)</f>
        <v>0.24123527071274051</v>
      </c>
    </row>
    <row r="3" spans="1:9" x14ac:dyDescent="0.4">
      <c r="A3" t="s">
        <v>2</v>
      </c>
      <c r="B3">
        <v>1.87</v>
      </c>
      <c r="C3">
        <v>1.93</v>
      </c>
      <c r="D3">
        <v>1.95</v>
      </c>
      <c r="E3">
        <v>0.27</v>
      </c>
      <c r="F3">
        <v>0.22</v>
      </c>
      <c r="G3">
        <v>0.25</v>
      </c>
      <c r="H3">
        <f>AVERAGE(B3:G3)</f>
        <v>1.0816666666666666</v>
      </c>
      <c r="I3">
        <f>H3/SQRT(9.81*$B$1)</f>
        <v>0.26180884731198756</v>
      </c>
    </row>
    <row r="4" spans="1:9" x14ac:dyDescent="0.4">
      <c r="A4" t="s">
        <v>3</v>
      </c>
      <c r="B4">
        <v>1.61</v>
      </c>
      <c r="C4">
        <v>1.57</v>
      </c>
      <c r="D4">
        <v>1.69</v>
      </c>
      <c r="E4">
        <v>0.4</v>
      </c>
      <c r="F4">
        <v>0.35</v>
      </c>
      <c r="G4">
        <v>0.27</v>
      </c>
      <c r="H4">
        <f>AVERAGE(B4:G4)</f>
        <v>0.9816666666666668</v>
      </c>
      <c r="I4">
        <f>H4/SQRT(9.81*$B$1)</f>
        <v>0.23760463954816752</v>
      </c>
    </row>
    <row r="6" spans="1:9" x14ac:dyDescent="0.4">
      <c r="A6" t="s">
        <v>4</v>
      </c>
      <c r="B6">
        <v>1.72</v>
      </c>
    </row>
    <row r="7" spans="1:9" x14ac:dyDescent="0.4">
      <c r="A7" t="s">
        <v>1</v>
      </c>
      <c r="B7">
        <v>1.51</v>
      </c>
      <c r="C7">
        <v>1.35</v>
      </c>
      <c r="D7">
        <v>1.4</v>
      </c>
      <c r="E7">
        <v>0.44</v>
      </c>
      <c r="F7">
        <v>0.4</v>
      </c>
      <c r="G7">
        <v>0.55000000000000004</v>
      </c>
      <c r="H7">
        <f>AVERAGE(B7:G7)</f>
        <v>0.94166666666666676</v>
      </c>
      <c r="I7">
        <f>H7/SQRT(9.81*$B$6)</f>
        <v>0.22924426001282389</v>
      </c>
    </row>
    <row r="8" spans="1:9" x14ac:dyDescent="0.4">
      <c r="A8" t="s">
        <v>2</v>
      </c>
      <c r="B8">
        <v>1.5</v>
      </c>
      <c r="C8">
        <v>1.6</v>
      </c>
      <c r="D8">
        <v>1.55</v>
      </c>
      <c r="E8">
        <v>0.55000000000000004</v>
      </c>
      <c r="F8">
        <v>0.5</v>
      </c>
      <c r="G8">
        <v>0.5</v>
      </c>
      <c r="H8">
        <f t="shared" ref="H8:H29" si="0">AVERAGE(B8:G8)</f>
        <v>1.0333333333333334</v>
      </c>
      <c r="I8">
        <f>H8/SQRT(9.81*$B$6)</f>
        <v>0.25156007293442623</v>
      </c>
    </row>
    <row r="9" spans="1:9" x14ac:dyDescent="0.4">
      <c r="A9" t="s">
        <v>3</v>
      </c>
      <c r="B9">
        <v>1.55</v>
      </c>
      <c r="C9">
        <v>1.5</v>
      </c>
      <c r="D9">
        <v>1.54</v>
      </c>
      <c r="E9">
        <v>0.27</v>
      </c>
      <c r="F9">
        <v>0.4</v>
      </c>
      <c r="G9">
        <v>0.42</v>
      </c>
      <c r="H9">
        <f>AVERAGE(B9:G9)</f>
        <v>0.94666666666666666</v>
      </c>
      <c r="I9">
        <f>H9/SQRT(9.81*$B$6)</f>
        <v>0.23046148617218398</v>
      </c>
    </row>
    <row r="11" spans="1:9" x14ac:dyDescent="0.4">
      <c r="A11" t="s">
        <v>5</v>
      </c>
      <c r="B11">
        <v>1.71</v>
      </c>
    </row>
    <row r="12" spans="1:9" x14ac:dyDescent="0.4">
      <c r="A12" t="s">
        <v>1</v>
      </c>
      <c r="B12">
        <v>1.6</v>
      </c>
      <c r="C12">
        <v>1.84</v>
      </c>
      <c r="D12">
        <v>1.89</v>
      </c>
      <c r="E12">
        <v>0.28999999999999998</v>
      </c>
      <c r="F12">
        <v>0.3</v>
      </c>
      <c r="G12">
        <v>0.31</v>
      </c>
      <c r="H12">
        <f t="shared" si="0"/>
        <v>1.0383333333333333</v>
      </c>
      <c r="I12">
        <f>H12/SQRT(9.81*$B$11)</f>
        <v>0.25351533657414582</v>
      </c>
    </row>
    <row r="13" spans="1:9" x14ac:dyDescent="0.4">
      <c r="A13" t="s">
        <v>2</v>
      </c>
      <c r="B13">
        <v>1.83</v>
      </c>
      <c r="C13">
        <v>1.89</v>
      </c>
      <c r="D13">
        <v>1.91</v>
      </c>
      <c r="E13">
        <v>0.32</v>
      </c>
      <c r="F13">
        <v>0.38</v>
      </c>
      <c r="G13">
        <v>0.42</v>
      </c>
      <c r="H13">
        <f t="shared" si="0"/>
        <v>1.125</v>
      </c>
      <c r="I13">
        <f>H13/SQRT(9.81*$B$11)</f>
        <v>0.27467552518065558</v>
      </c>
    </row>
    <row r="14" spans="1:9" x14ac:dyDescent="0.4">
      <c r="A14" t="s">
        <v>3</v>
      </c>
      <c r="B14">
        <v>1.9</v>
      </c>
      <c r="C14">
        <v>1.93</v>
      </c>
      <c r="D14">
        <v>1.98</v>
      </c>
      <c r="E14">
        <v>0.28999999999999998</v>
      </c>
      <c r="F14">
        <v>0.28999999999999998</v>
      </c>
      <c r="G14">
        <v>0.27</v>
      </c>
      <c r="H14">
        <f t="shared" si="0"/>
        <v>1.1100000000000001</v>
      </c>
      <c r="I14">
        <f>H14/SQRT(9.81*$B$11)</f>
        <v>0.27101318484491349</v>
      </c>
    </row>
    <row r="16" spans="1:9" x14ac:dyDescent="0.4">
      <c r="A16" t="s">
        <v>6</v>
      </c>
      <c r="B16">
        <v>1.76</v>
      </c>
    </row>
    <row r="17" spans="1:9" x14ac:dyDescent="0.4">
      <c r="A17" t="s">
        <v>1</v>
      </c>
      <c r="B17">
        <v>1.85</v>
      </c>
      <c r="C17">
        <v>1.89</v>
      </c>
      <c r="D17">
        <v>1.86</v>
      </c>
      <c r="E17">
        <v>0.6</v>
      </c>
      <c r="F17">
        <v>0.8</v>
      </c>
      <c r="G17">
        <v>0.75</v>
      </c>
      <c r="H17">
        <f t="shared" si="0"/>
        <v>1.2916666666666667</v>
      </c>
      <c r="I17">
        <f>H17/SQRT(9.8*$B$16)</f>
        <v>0.31101481750536469</v>
      </c>
    </row>
    <row r="18" spans="1:9" x14ac:dyDescent="0.4">
      <c r="A18" t="s">
        <v>2</v>
      </c>
      <c r="B18">
        <v>1.91</v>
      </c>
      <c r="C18">
        <v>1.92</v>
      </c>
      <c r="D18">
        <v>1.87</v>
      </c>
      <c r="E18">
        <v>0.65</v>
      </c>
      <c r="F18">
        <v>0.65</v>
      </c>
      <c r="G18">
        <v>0.6</v>
      </c>
      <c r="H18">
        <f t="shared" si="0"/>
        <v>1.2666666666666668</v>
      </c>
      <c r="I18">
        <f>H18/SQRT(9.8*$B$16)</f>
        <v>0.3049951758762286</v>
      </c>
    </row>
    <row r="19" spans="1:9" x14ac:dyDescent="0.4">
      <c r="A19" t="s">
        <v>3</v>
      </c>
      <c r="B19">
        <v>1.87</v>
      </c>
      <c r="C19">
        <v>1.9</v>
      </c>
      <c r="D19">
        <v>1.9</v>
      </c>
      <c r="E19">
        <v>0.6</v>
      </c>
      <c r="F19">
        <v>0.7</v>
      </c>
      <c r="G19">
        <v>0.65</v>
      </c>
      <c r="H19">
        <f t="shared" si="0"/>
        <v>1.27</v>
      </c>
      <c r="I19">
        <f t="shared" ref="I18:I19" si="1">H19/SQRT(9.8*$B$16)</f>
        <v>0.30579779476011337</v>
      </c>
    </row>
    <row r="21" spans="1:9" x14ac:dyDescent="0.4">
      <c r="A21" t="s">
        <v>7</v>
      </c>
      <c r="B21">
        <v>1.746</v>
      </c>
    </row>
    <row r="22" spans="1:9" x14ac:dyDescent="0.4">
      <c r="A22" t="s">
        <v>1</v>
      </c>
      <c r="B22">
        <v>1.79</v>
      </c>
      <c r="C22">
        <v>1.8</v>
      </c>
      <c r="D22">
        <v>1.74</v>
      </c>
      <c r="E22">
        <v>0.5</v>
      </c>
      <c r="F22">
        <v>0.47</v>
      </c>
      <c r="G22">
        <v>0.48</v>
      </c>
      <c r="H22">
        <f t="shared" si="0"/>
        <v>1.1299999999999999</v>
      </c>
      <c r="I22">
        <f>H22/SQRT(9.8*$B$21)</f>
        <v>0.27317646823833081</v>
      </c>
    </row>
    <row r="23" spans="1:9" x14ac:dyDescent="0.4">
      <c r="A23" t="s">
        <v>2</v>
      </c>
      <c r="B23">
        <v>1.75</v>
      </c>
      <c r="C23">
        <v>1.75</v>
      </c>
      <c r="D23">
        <v>1.72</v>
      </c>
      <c r="E23">
        <v>0.5</v>
      </c>
      <c r="F23">
        <v>0.45</v>
      </c>
      <c r="G23">
        <v>0.47</v>
      </c>
      <c r="H23">
        <f t="shared" si="0"/>
        <v>1.1066666666666667</v>
      </c>
      <c r="I23">
        <f t="shared" ref="I23:I24" si="2">H23/SQRT(9.8*$B$21)</f>
        <v>0.26753565620981073</v>
      </c>
    </row>
    <row r="24" spans="1:9" x14ac:dyDescent="0.4">
      <c r="A24" t="s">
        <v>3</v>
      </c>
      <c r="B24">
        <v>1.87</v>
      </c>
      <c r="C24">
        <v>1.8</v>
      </c>
      <c r="D24">
        <v>1.83</v>
      </c>
      <c r="E24">
        <v>0.45</v>
      </c>
      <c r="F24">
        <v>0.35</v>
      </c>
      <c r="G24">
        <v>0.45</v>
      </c>
      <c r="H24">
        <f t="shared" si="0"/>
        <v>1.125</v>
      </c>
      <c r="I24">
        <f t="shared" si="2"/>
        <v>0.27196772280364795</v>
      </c>
    </row>
    <row r="26" spans="1:9" x14ac:dyDescent="0.4">
      <c r="A26" t="s">
        <v>8</v>
      </c>
      <c r="B26">
        <v>1.73</v>
      </c>
    </row>
    <row r="27" spans="1:9" x14ac:dyDescent="0.4">
      <c r="A27" t="s">
        <v>1</v>
      </c>
      <c r="B27">
        <v>1.58</v>
      </c>
      <c r="C27">
        <v>1.6</v>
      </c>
      <c r="D27">
        <v>1.6</v>
      </c>
      <c r="E27">
        <v>0.42</v>
      </c>
      <c r="F27">
        <v>0.45</v>
      </c>
      <c r="G27">
        <v>0.37</v>
      </c>
      <c r="H27">
        <f t="shared" si="0"/>
        <v>1.0033333333333334</v>
      </c>
      <c r="I27">
        <f>H27/SQRT(9.8*$B$26)</f>
        <v>0.24367397699563315</v>
      </c>
    </row>
    <row r="28" spans="1:9" x14ac:dyDescent="0.4">
      <c r="A28" t="s">
        <v>2</v>
      </c>
      <c r="B28">
        <v>1.6</v>
      </c>
      <c r="C28">
        <v>1.56</v>
      </c>
      <c r="D28">
        <v>1.61</v>
      </c>
      <c r="E28">
        <v>0.35</v>
      </c>
      <c r="F28">
        <v>0.36</v>
      </c>
      <c r="G28">
        <v>0.38</v>
      </c>
      <c r="H28">
        <f t="shared" si="0"/>
        <v>0.97666666666666668</v>
      </c>
      <c r="I28">
        <f>H28/SQRT(9.8*$B$26)</f>
        <v>0.23719759222498507</v>
      </c>
    </row>
    <row r="29" spans="1:9" x14ac:dyDescent="0.4">
      <c r="A29" t="s">
        <v>3</v>
      </c>
      <c r="B29">
        <v>1.5</v>
      </c>
      <c r="C29">
        <v>1.45</v>
      </c>
      <c r="D29">
        <v>0.4</v>
      </c>
      <c r="E29">
        <v>0.41</v>
      </c>
      <c r="F29">
        <v>0.4</v>
      </c>
      <c r="H29">
        <f t="shared" si="0"/>
        <v>0.83200000000000007</v>
      </c>
      <c r="I29">
        <f t="shared" ref="I28:I29" si="3">H29/SQRT(9.8*$B$26)</f>
        <v>0.20206320484421939</v>
      </c>
    </row>
    <row r="31" spans="1:9" x14ac:dyDescent="0.4">
      <c r="A31" t="s">
        <v>16</v>
      </c>
    </row>
    <row r="32" spans="1:9" x14ac:dyDescent="0.4">
      <c r="A32" t="s">
        <v>1</v>
      </c>
    </row>
    <row r="33" spans="1:1" x14ac:dyDescent="0.4">
      <c r="A33" t="s">
        <v>2</v>
      </c>
    </row>
    <row r="34" spans="1:1" x14ac:dyDescent="0.4">
      <c r="A34" t="s">
        <v>3</v>
      </c>
    </row>
    <row r="36" spans="1:1" x14ac:dyDescent="0.4">
      <c r="A36" t="s">
        <v>9</v>
      </c>
    </row>
    <row r="37" spans="1:1" x14ac:dyDescent="0.4">
      <c r="A37" t="s">
        <v>1</v>
      </c>
    </row>
    <row r="38" spans="1:1" x14ac:dyDescent="0.4">
      <c r="A38" t="s">
        <v>2</v>
      </c>
    </row>
    <row r="39" spans="1:1" x14ac:dyDescent="0.4">
      <c r="A39" t="s">
        <v>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98B0E-BA51-4891-9853-C89C70EC335E}">
  <dimension ref="A1:G9"/>
  <sheetViews>
    <sheetView tabSelected="1" zoomScale="85" zoomScaleNormal="85" workbookViewId="0">
      <selection activeCell="H11" sqref="H11"/>
    </sheetView>
  </sheetViews>
  <sheetFormatPr defaultRowHeight="18.75" x14ac:dyDescent="0.4"/>
  <sheetData>
    <row r="1" spans="1:7" x14ac:dyDescent="0.4">
      <c r="A1" t="s">
        <v>20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 x14ac:dyDescent="0.4">
      <c r="A2" t="s">
        <v>17</v>
      </c>
      <c r="B2">
        <v>0.9966666666666667</v>
      </c>
      <c r="C2">
        <v>0.94166666666666676</v>
      </c>
      <c r="D2">
        <v>1.0383333333333333</v>
      </c>
      <c r="E2">
        <v>1.2916666666666667</v>
      </c>
      <c r="F2">
        <v>1.1299999999999999</v>
      </c>
      <c r="G2">
        <v>1.0033333333333334</v>
      </c>
    </row>
    <row r="3" spans="1:7" x14ac:dyDescent="0.4">
      <c r="A3" t="s">
        <v>18</v>
      </c>
      <c r="B3">
        <v>1.0816666666666666</v>
      </c>
      <c r="C3">
        <v>1.0333333333333334</v>
      </c>
      <c r="D3">
        <v>1.125</v>
      </c>
      <c r="E3">
        <v>1.2666666666666668</v>
      </c>
      <c r="F3">
        <v>1.1066666666666667</v>
      </c>
      <c r="G3">
        <v>0.97666666666666668</v>
      </c>
    </row>
    <row r="4" spans="1:7" x14ac:dyDescent="0.4">
      <c r="A4" t="s">
        <v>19</v>
      </c>
      <c r="B4">
        <v>0.9816666666666668</v>
      </c>
      <c r="C4">
        <v>0.94666666666666666</v>
      </c>
      <c r="D4">
        <v>1.1100000000000001</v>
      </c>
      <c r="E4">
        <v>1.27</v>
      </c>
      <c r="F4">
        <v>1.125</v>
      </c>
      <c r="G4">
        <v>0.83200000000000007</v>
      </c>
    </row>
    <row r="6" spans="1:7" x14ac:dyDescent="0.4">
      <c r="A6" t="s">
        <v>21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</row>
    <row r="7" spans="1:7" x14ac:dyDescent="0.4">
      <c r="A7" t="s">
        <v>17</v>
      </c>
      <c r="B7">
        <v>0.24123527071274051</v>
      </c>
      <c r="C7">
        <v>0.22924426001282389</v>
      </c>
      <c r="D7">
        <v>0.25351533657414582</v>
      </c>
      <c r="E7">
        <v>0.31101481750536469</v>
      </c>
      <c r="F7">
        <v>0.27317646823833081</v>
      </c>
      <c r="G7">
        <v>0.24367397699563315</v>
      </c>
    </row>
    <row r="8" spans="1:7" x14ac:dyDescent="0.4">
      <c r="A8" t="s">
        <v>18</v>
      </c>
      <c r="B8">
        <v>0.26180884731198756</v>
      </c>
      <c r="C8">
        <v>0.25156007293442623</v>
      </c>
      <c r="D8">
        <v>0.27467552518065558</v>
      </c>
      <c r="E8">
        <v>0.3049951758762286</v>
      </c>
      <c r="F8">
        <v>0.26753565620981073</v>
      </c>
      <c r="G8">
        <v>0.23719759222498507</v>
      </c>
    </row>
    <row r="9" spans="1:7" x14ac:dyDescent="0.4">
      <c r="A9" t="s">
        <v>19</v>
      </c>
      <c r="B9">
        <v>0.23760463954816752</v>
      </c>
      <c r="C9">
        <v>0.23046148617218398</v>
      </c>
      <c r="D9">
        <v>0.27101318484491349</v>
      </c>
      <c r="E9">
        <v>0.30579779476011337</v>
      </c>
      <c r="F9">
        <v>0.27196772280364795</v>
      </c>
      <c r="G9">
        <v>0.20206320484421939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 Hikaru</dc:creator>
  <cp:lastModifiedBy>IDE Hikaru</cp:lastModifiedBy>
  <dcterms:created xsi:type="dcterms:W3CDTF">2026-08-03T09:35:11Z</dcterms:created>
  <dcterms:modified xsi:type="dcterms:W3CDTF">2026-08-20T09:23:54Z</dcterms:modified>
</cp:coreProperties>
</file>